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hmud\OneDrive\Desktop\project #1\"/>
    </mc:Choice>
  </mc:AlternateContent>
  <xr:revisionPtr revIDLastSave="0" documentId="13_ncr:1_{0D8ED720-DE6F-4AC8-8C56-2B6BAAFB5764}" xr6:coauthVersionLast="47" xr6:coauthVersionMax="47" xr10:uidLastSave="{00000000-0000-0000-0000-000000000000}"/>
  <bookViews>
    <workbookView xWindow="-108" yWindow="-108" windowWidth="23256" windowHeight="12456" activeTab="2" xr2:uid="{B86FF11C-16E5-4B20-972F-B63C82FA9255}"/>
  </bookViews>
  <sheets>
    <sheet name="TRAI_Internet_Penetration_State" sheetId="2" r:id="rId1"/>
    <sheet name="UPI_Data" sheetId="3" r:id="rId2"/>
    <sheet name="Merged_data" sheetId="1" r:id="rId3"/>
  </sheets>
  <definedNames>
    <definedName name="ExternalData_1" localSheetId="0" hidden="1">TRAI_Internet_Penetration_State!$A$1:$G$31</definedName>
    <definedName name="ExternalData_1" localSheetId="1" hidden="1">UPI_Data!$A$1:$D$12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2" i="1"/>
  <c r="E3" i="1"/>
  <c r="E4" i="1"/>
  <c r="E5" i="1"/>
  <c r="E6" i="1"/>
  <c r="E7" i="1"/>
  <c r="E8" i="1"/>
  <c r="E9" i="1"/>
  <c r="E10" i="1"/>
  <c r="E2" i="1"/>
  <c r="D3" i="1"/>
  <c r="D4" i="1"/>
  <c r="D5" i="1"/>
  <c r="D6" i="1"/>
  <c r="D7" i="1"/>
  <c r="D8" i="1"/>
  <c r="D9" i="1"/>
  <c r="D10" i="1"/>
  <c r="D2" i="1"/>
  <c r="C5" i="1"/>
  <c r="C3" i="1"/>
  <c r="C4" i="1"/>
  <c r="C6" i="1"/>
  <c r="C7" i="1"/>
  <c r="C8" i="1"/>
  <c r="C9" i="1"/>
  <c r="C10" i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4F319A-7323-494C-9BAE-16CC6FA3164C}" keepAlive="1" name="Query - TRAI_Internet_Penetration_StateWise_Jun2025_1" description="Connection to the 'TRAI_Internet_Penetration_StateWise_Jun2025_1' query in the workbook." type="5" refreshedVersion="8" background="1" saveData="1">
    <dbPr connection="Provider=Microsoft.Mashup.OleDb.1;Data Source=$Workbook$;Location=TRAI_Internet_Penetration_StateWise_Jun2025_1;Extended Properties=&quot;&quot;" command="SELECT * FROM [TRAI_Internet_Penetration_StateWise_Jun2025_1]"/>
  </connection>
  <connection id="2" xr16:uid="{6E0DA906-DDFB-4DA1-8A1C-6B1FA3D976F3}" keepAlive="1" name="Query - UPI_PerCapita_StateWise_FY2425" description="Connection to the 'UPI_PerCapita_StateWise_FY2425' query in the workbook." type="5" refreshedVersion="8" background="1" saveData="1">
    <dbPr connection="Provider=Microsoft.Mashup.OleDb.1;Data Source=$Workbook$;Location=UPI_PerCapita_StateWise_FY2425;Extended Properties=&quot;&quot;" command="SELECT * FROM [UPI_PerCapita_StateWise_FY2425]"/>
  </connection>
</connections>
</file>

<file path=xl/sharedStrings.xml><?xml version="1.0" encoding="utf-8"?>
<sst xmlns="http://schemas.openxmlformats.org/spreadsheetml/2006/main" count="78" uniqueCount="49">
  <si>
    <t>State</t>
  </si>
  <si>
    <t>Internet_Subscribers_Rural_Million</t>
  </si>
  <si>
    <t>Internet_Subscribers_Urban_Million</t>
  </si>
  <si>
    <t>Internet_Subscribers_Total_Million</t>
  </si>
  <si>
    <t>Internet_Per100_Rural</t>
  </si>
  <si>
    <t>Internet_Per100_Urban</t>
  </si>
  <si>
    <t>Internet_Per100_Total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</si>
  <si>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</si>
  <si>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</si>
  <si>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</si>
  <si>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</si>
  <si>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</si>
  <si>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</si>
  <si>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</si>
  <si>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</si>
  <si>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</si>
  <si>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</si>
  <si>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</si>
  <si>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</si>
  <si>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</si>
  <si>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</si>
  <si>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</si>
  <si>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</si>
  <si>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</si>
  <si>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</si>
  <si>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</si>
  <si>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</si>
  <si>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</si>
  <si>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</si>
  <si>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</si>
  <si>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</si>
  <si>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</si>
  <si>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</si>
  <si>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</si>
  <si>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</si>
  <si>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Delhi</t>
  </si>
  <si>
    <t>Jammu and Kashmir</t>
  </si>
  <si>
    <t>UPI_PerCapita_Volume_Txns</t>
  </si>
  <si>
    <t>UPI_PerCapita_Value_Lakh_INR</t>
  </si>
  <si>
    <t>Adoption_Tier</t>
  </si>
  <si>
    <t>High</t>
  </si>
  <si>
    <t>Chandigarh</t>
  </si>
  <si>
    <t>Low</t>
  </si>
  <si>
    <t>All India</t>
  </si>
  <si>
    <t>National Average</t>
  </si>
  <si>
    <t>Internet_per100_total</t>
  </si>
  <si>
    <t>UPI_PerCapita_Volume</t>
  </si>
  <si>
    <t>UPI_PerCapita_Value</t>
  </si>
  <si>
    <t>Urban_percent2011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</si>
</sst>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082999F-5475-470E-9988-FA65D2DB7BDD}" autoFormatId="16" applyNumberFormats="0" applyBorderFormats="0" applyFontFormats="0" applyPatternFormats="0" applyAlignmentFormats="0" applyWidthHeightFormats="0">
  <queryTableRefresh nextId="8">
    <queryTableFields count="7">
      <queryTableField id="1" name="State" tableColumnId="1"/>
      <queryTableField id="2" name="Internet_Subscribers_Rural_Million" tableColumnId="2"/>
      <queryTableField id="3" name="Internet_Subscribers_Urban_Million" tableColumnId="3"/>
      <queryTableField id="4" name="Internet_Subscribers_Total_Million" tableColumnId="4"/>
      <queryTableField id="5" name="Internet_Per100_Rural" tableColumnId="5"/>
      <queryTableField id="6" name="Internet_Per100_Urban" tableColumnId="6"/>
      <queryTableField id="7" name="Internet_Per100_Total" tableColumnId="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62FBD70D-E5B8-48E9-AB48-0FDFE0560788}" autoFormatId="16" applyNumberFormats="0" applyBorderFormats="0" applyFontFormats="0" applyPatternFormats="0" applyAlignmentFormats="0" applyWidthHeightFormats="0">
  <queryTableRefresh nextId="5">
    <queryTableFields count="4">
      <queryTableField id="1" name="State" tableColumnId="1"/>
      <queryTableField id="2" name="UPI_PerCapita_Volume_Txns" tableColumnId="2"/>
      <queryTableField id="3" name="UPI_PerCapita_Value_Lakh_INR" tableColumnId="3"/>
      <queryTableField id="4" name="Adoption_Tier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03FF56-E242-4791-8AE5-F891E4678377}" name="TRAI_Internet_Penetration_StateWise_Jun2025_1" displayName="TRAI_Internet_Penetration_StateWise_Jun2025_1" ref="A1:G31" tableType="queryTable" totalsRowShown="0">
  <autoFilter ref="A1:G31" xr:uid="{F003FF56-E242-4791-8AE5-F891E4678377}"/>
  <tableColumns count="7">
    <tableColumn id="1" xr3:uid="{76B1BBD4-8018-40D9-BB06-3E7EBDBF7579}" uniqueName="1" name="State" queryTableFieldId="1" dataDxfId="2"/>
    <tableColumn id="2" xr3:uid="{7C5BD602-0E75-4419-8566-1BA779BB94B2}" uniqueName="2" name="Internet_Subscribers_Rural_Million" queryTableFieldId="2"/>
    <tableColumn id="3" xr3:uid="{44985130-EF11-4032-9903-534920B24711}" uniqueName="3" name="Internet_Subscribers_Urban_Million" queryTableFieldId="3"/>
    <tableColumn id="4" xr3:uid="{C6908E09-F746-4E06-851C-F7E974410F71}" uniqueName="4" name="Internet_Subscribers_Total_Million" queryTableFieldId="4"/>
    <tableColumn id="5" xr3:uid="{7A9EF30C-25E9-42AC-A646-41029810EEEB}" uniqueName="5" name="Internet_Per100_Rural" queryTableFieldId="5"/>
    <tableColumn id="6" xr3:uid="{C7DC1773-39D4-4006-9D34-D74E4C6E4DE8}" uniqueName="6" name="Internet_Per100_Urban" queryTableFieldId="6"/>
    <tableColumn id="7" xr3:uid="{CE41BC0F-81FC-471B-B7A1-648A93EBD8CC}" uniqueName="7" name="Internet_Per100_Total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C1EFD2-CEC0-4B63-9F74-345A8DA73781}" name="UPI_PerCapita_StateWise_FY2425" displayName="UPI_PerCapita_StateWise_FY2425" ref="A1:D12" tableType="queryTable" totalsRowShown="0">
  <autoFilter ref="A1:D12" xr:uid="{0AC1EFD2-CEC0-4B63-9F74-345A8DA73781}"/>
  <tableColumns count="4">
    <tableColumn id="1" xr3:uid="{524983B0-337F-493F-8657-E95BBC474C2B}" uniqueName="1" name="State" queryTableFieldId="1" dataDxfId="1"/>
    <tableColumn id="2" xr3:uid="{8BF91FB7-F355-4107-9E0D-721B74220D6D}" uniqueName="2" name="UPI_PerCapita_Volume_Txns" queryTableFieldId="2"/>
    <tableColumn id="3" xr3:uid="{1572B33A-4945-4263-BEBE-D1843BD59129}" uniqueName="3" name="UPI_PerCapita_Value_Lakh_INR" queryTableFieldId="3"/>
    <tableColumn id="4" xr3:uid="{BCCCE981-8596-4BD2-AC4A-55F0FA51230A}" uniqueName="4" name="Adoption_Tier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92176-4581-45E1-BD39-D5FE6D3907CC}">
  <dimension ref="A1:G31"/>
  <sheetViews>
    <sheetView topLeftCell="A12" workbookViewId="0">
      <selection activeCell="G5" sqref="G5"/>
    </sheetView>
  </sheetViews>
  <sheetFormatPr defaultRowHeight="14.4" x14ac:dyDescent="0.3"/>
  <cols>
    <col min="1" max="1" width="17.33203125" bestFit="1" customWidth="1"/>
    <col min="2" max="2" width="33.21875" bestFit="1" customWidth="1"/>
    <col min="3" max="3" width="34.109375" bestFit="1" customWidth="1"/>
    <col min="4" max="4" width="33.109375" bestFit="1" customWidth="1"/>
    <col min="5" max="5" width="22.33203125" bestFit="1" customWidth="1"/>
    <col min="6" max="6" width="23.21875" bestFit="1" customWidth="1"/>
    <col min="7" max="7" width="22.2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18.510000000000002</v>
      </c>
      <c r="C2">
        <v>18.75</v>
      </c>
      <c r="D2">
        <v>37.26</v>
      </c>
      <c r="E2">
        <v>55.62</v>
      </c>
      <c r="F2">
        <v>92.32</v>
      </c>
      <c r="G2">
        <v>69.53</v>
      </c>
    </row>
    <row r="3" spans="1:7" x14ac:dyDescent="0.3">
      <c r="A3" t="s">
        <v>8</v>
      </c>
      <c r="B3">
        <v>0.59</v>
      </c>
      <c r="C3">
        <v>0.4</v>
      </c>
      <c r="D3">
        <v>0.99</v>
      </c>
      <c r="E3">
        <v>50.23</v>
      </c>
      <c r="F3">
        <v>96.24</v>
      </c>
      <c r="G3">
        <v>62.27</v>
      </c>
    </row>
    <row r="4" spans="1:7" x14ac:dyDescent="0.3">
      <c r="A4" t="s">
        <v>9</v>
      </c>
      <c r="B4">
        <v>13.99</v>
      </c>
      <c r="C4">
        <v>7.05</v>
      </c>
      <c r="D4">
        <v>21.05</v>
      </c>
      <c r="E4">
        <v>45.56</v>
      </c>
      <c r="F4">
        <v>121.98</v>
      </c>
      <c r="G4">
        <v>57.67</v>
      </c>
    </row>
    <row r="5" spans="1:7" x14ac:dyDescent="0.3">
      <c r="A5" t="s">
        <v>10</v>
      </c>
      <c r="B5">
        <v>39.5</v>
      </c>
      <c r="C5">
        <v>17.57</v>
      </c>
      <c r="D5">
        <v>57.07</v>
      </c>
      <c r="E5">
        <v>34.43</v>
      </c>
      <c r="F5">
        <v>107.61</v>
      </c>
      <c r="G5">
        <v>43.55</v>
      </c>
    </row>
    <row r="6" spans="1:7" x14ac:dyDescent="0.3">
      <c r="A6" t="s">
        <v>11</v>
      </c>
      <c r="B6">
        <v>9.2100000000000009</v>
      </c>
      <c r="C6">
        <v>9.99</v>
      </c>
      <c r="D6">
        <v>19.2</v>
      </c>
      <c r="E6">
        <v>41.22</v>
      </c>
      <c r="F6">
        <v>115.69</v>
      </c>
      <c r="G6">
        <v>61.97</v>
      </c>
    </row>
    <row r="7" spans="1:7" x14ac:dyDescent="0.3">
      <c r="A7" t="s">
        <v>12</v>
      </c>
      <c r="B7">
        <v>0.67</v>
      </c>
      <c r="C7">
        <v>1.83</v>
      </c>
      <c r="D7">
        <v>2.5</v>
      </c>
      <c r="E7">
        <v>193.5</v>
      </c>
      <c r="F7">
        <v>146.6</v>
      </c>
      <c r="G7">
        <v>156.81</v>
      </c>
    </row>
    <row r="8" spans="1:7" x14ac:dyDescent="0.3">
      <c r="A8" t="s">
        <v>13</v>
      </c>
      <c r="B8">
        <v>20.62</v>
      </c>
      <c r="C8">
        <v>37.35</v>
      </c>
      <c r="D8">
        <v>57.97</v>
      </c>
      <c r="E8">
        <v>55.96</v>
      </c>
      <c r="F8">
        <v>101.86</v>
      </c>
      <c r="G8">
        <v>78.849999999999994</v>
      </c>
    </row>
    <row r="9" spans="1:7" x14ac:dyDescent="0.3">
      <c r="A9" t="s">
        <v>14</v>
      </c>
      <c r="B9">
        <v>10.27</v>
      </c>
      <c r="C9">
        <v>20.47</v>
      </c>
      <c r="D9">
        <v>30.74</v>
      </c>
      <c r="E9">
        <v>58.49</v>
      </c>
      <c r="F9">
        <v>151.69</v>
      </c>
      <c r="G9">
        <v>98.99</v>
      </c>
    </row>
    <row r="10" spans="1:7" x14ac:dyDescent="0.3">
      <c r="A10" t="s">
        <v>15</v>
      </c>
      <c r="B10">
        <v>4.16</v>
      </c>
      <c r="C10">
        <v>2.68</v>
      </c>
      <c r="D10">
        <v>6.84</v>
      </c>
      <c r="E10">
        <v>61.44</v>
      </c>
      <c r="F10">
        <v>341.91</v>
      </c>
      <c r="G10">
        <v>90.51</v>
      </c>
    </row>
    <row r="11" spans="1:7" x14ac:dyDescent="0.3">
      <c r="A11" t="s">
        <v>16</v>
      </c>
      <c r="B11">
        <v>11.53</v>
      </c>
      <c r="C11">
        <v>8.9700000000000006</v>
      </c>
      <c r="D11">
        <v>20.5</v>
      </c>
      <c r="E11">
        <v>38.65</v>
      </c>
      <c r="F11">
        <v>83.05</v>
      </c>
      <c r="G11">
        <v>50.45</v>
      </c>
    </row>
    <row r="12" spans="1:7" x14ac:dyDescent="0.3">
      <c r="A12" t="s">
        <v>17</v>
      </c>
      <c r="B12">
        <v>21.87</v>
      </c>
      <c r="C12">
        <v>40.549999999999997</v>
      </c>
      <c r="D12">
        <v>62.42</v>
      </c>
      <c r="E12">
        <v>58.45</v>
      </c>
      <c r="F12">
        <v>129.66999999999999</v>
      </c>
      <c r="G12">
        <v>90.88</v>
      </c>
    </row>
    <row r="13" spans="1:7" x14ac:dyDescent="0.3">
      <c r="A13" t="s">
        <v>18</v>
      </c>
      <c r="B13">
        <v>17.48</v>
      </c>
      <c r="C13">
        <v>19.5</v>
      </c>
      <c r="D13">
        <v>36.979999999999997</v>
      </c>
      <c r="E13">
        <v>242.92</v>
      </c>
      <c r="F13">
        <v>67.430000000000007</v>
      </c>
      <c r="G13">
        <v>102.4</v>
      </c>
    </row>
    <row r="14" spans="1:7" x14ac:dyDescent="0.3">
      <c r="A14" t="s">
        <v>19</v>
      </c>
      <c r="B14">
        <v>22.3</v>
      </c>
      <c r="C14">
        <v>29.5</v>
      </c>
      <c r="D14">
        <v>51.8</v>
      </c>
      <c r="E14">
        <v>35.409999999999997</v>
      </c>
      <c r="F14">
        <v>113.34</v>
      </c>
      <c r="G14">
        <v>58.21</v>
      </c>
    </row>
    <row r="15" spans="1:7" x14ac:dyDescent="0.3">
      <c r="A15" t="s">
        <v>20</v>
      </c>
      <c r="B15">
        <v>34.409999999999997</v>
      </c>
      <c r="C15">
        <v>77.7</v>
      </c>
      <c r="D15">
        <v>112.11</v>
      </c>
      <c r="E15">
        <v>52.61</v>
      </c>
      <c r="F15">
        <v>122.83</v>
      </c>
      <c r="G15">
        <v>87.14</v>
      </c>
    </row>
    <row r="16" spans="1:7" x14ac:dyDescent="0.3">
      <c r="A16" t="s">
        <v>21</v>
      </c>
      <c r="B16">
        <v>1.03</v>
      </c>
      <c r="C16">
        <v>1.34</v>
      </c>
      <c r="D16">
        <v>2.38</v>
      </c>
      <c r="E16">
        <v>46.94</v>
      </c>
      <c r="F16">
        <v>123.36</v>
      </c>
      <c r="G16">
        <v>72.2</v>
      </c>
    </row>
    <row r="17" spans="1:7" x14ac:dyDescent="0.3">
      <c r="A17" t="s">
        <v>22</v>
      </c>
      <c r="B17">
        <v>1.41</v>
      </c>
      <c r="C17">
        <v>0.75</v>
      </c>
      <c r="D17">
        <v>2.16</v>
      </c>
      <c r="E17">
        <v>51.99</v>
      </c>
      <c r="F17">
        <v>105.65</v>
      </c>
      <c r="G17">
        <v>63.12</v>
      </c>
    </row>
    <row r="18" spans="1:7" x14ac:dyDescent="0.3">
      <c r="A18" t="s">
        <v>23</v>
      </c>
      <c r="B18">
        <v>0.55000000000000004</v>
      </c>
      <c r="C18">
        <v>0.72</v>
      </c>
      <c r="D18">
        <v>1.27</v>
      </c>
      <c r="E18">
        <v>98.39</v>
      </c>
      <c r="F18">
        <v>102.52</v>
      </c>
      <c r="G18">
        <v>100.69</v>
      </c>
    </row>
    <row r="19" spans="1:7" x14ac:dyDescent="0.3">
      <c r="A19" t="s">
        <v>24</v>
      </c>
      <c r="B19">
        <v>1.01</v>
      </c>
      <c r="C19">
        <v>0.68</v>
      </c>
      <c r="D19">
        <v>1.69</v>
      </c>
      <c r="E19">
        <v>86.87</v>
      </c>
      <c r="F19">
        <v>60.48</v>
      </c>
      <c r="G19">
        <v>73.89</v>
      </c>
    </row>
    <row r="20" spans="1:7" x14ac:dyDescent="0.3">
      <c r="A20" t="s">
        <v>25</v>
      </c>
      <c r="B20">
        <v>17.64</v>
      </c>
      <c r="C20">
        <v>9.7200000000000006</v>
      </c>
      <c r="D20">
        <v>27.36</v>
      </c>
      <c r="E20">
        <v>49.05</v>
      </c>
      <c r="F20">
        <v>112.75</v>
      </c>
      <c r="G20">
        <v>61.37</v>
      </c>
    </row>
    <row r="21" spans="1:7" x14ac:dyDescent="0.3">
      <c r="A21" t="s">
        <v>26</v>
      </c>
      <c r="B21">
        <v>9.94</v>
      </c>
      <c r="C21">
        <v>17.829999999999998</v>
      </c>
      <c r="D21">
        <v>27.77</v>
      </c>
      <c r="E21">
        <v>55.6</v>
      </c>
      <c r="F21">
        <v>133.94</v>
      </c>
      <c r="G21">
        <v>89.03</v>
      </c>
    </row>
    <row r="22" spans="1:7" x14ac:dyDescent="0.3">
      <c r="A22" t="s">
        <v>27</v>
      </c>
      <c r="B22">
        <v>26.93</v>
      </c>
      <c r="C22">
        <v>26.85</v>
      </c>
      <c r="D22">
        <v>53.77</v>
      </c>
      <c r="E22">
        <v>44.37</v>
      </c>
      <c r="F22">
        <v>119.97</v>
      </c>
      <c r="G22">
        <v>64.739999999999995</v>
      </c>
    </row>
    <row r="23" spans="1:7" x14ac:dyDescent="0.3">
      <c r="A23" t="s">
        <v>28</v>
      </c>
      <c r="B23">
        <v>0.38</v>
      </c>
      <c r="C23">
        <v>0.27</v>
      </c>
      <c r="D23">
        <v>0.65</v>
      </c>
      <c r="E23">
        <v>116.89</v>
      </c>
      <c r="F23">
        <v>71.16</v>
      </c>
      <c r="G23">
        <v>92.27</v>
      </c>
    </row>
    <row r="24" spans="1:7" x14ac:dyDescent="0.3">
      <c r="A24" t="s">
        <v>29</v>
      </c>
      <c r="B24">
        <v>18.45</v>
      </c>
      <c r="C24">
        <v>46.82</v>
      </c>
      <c r="D24">
        <v>65.27</v>
      </c>
      <c r="E24">
        <v>52.65</v>
      </c>
      <c r="F24">
        <v>110.54</v>
      </c>
      <c r="G24">
        <v>84.33</v>
      </c>
    </row>
    <row r="25" spans="1:7" x14ac:dyDescent="0.3">
      <c r="A25" t="s">
        <v>30</v>
      </c>
      <c r="B25">
        <v>13.24</v>
      </c>
      <c r="C25">
        <v>23.64</v>
      </c>
      <c r="D25">
        <v>36.869999999999997</v>
      </c>
      <c r="E25">
        <v>68.2</v>
      </c>
      <c r="F25">
        <v>123.71</v>
      </c>
      <c r="G25">
        <v>95.74</v>
      </c>
    </row>
    <row r="26" spans="1:7" x14ac:dyDescent="0.3">
      <c r="A26" t="s">
        <v>31</v>
      </c>
      <c r="B26">
        <v>1.1000000000000001</v>
      </c>
      <c r="C26">
        <v>1.29</v>
      </c>
      <c r="D26">
        <v>2.39</v>
      </c>
      <c r="E26">
        <v>44.71</v>
      </c>
      <c r="F26">
        <v>72.94</v>
      </c>
      <c r="G26">
        <v>56.52</v>
      </c>
    </row>
    <row r="27" spans="1:7" x14ac:dyDescent="0.3">
      <c r="A27" t="s">
        <v>32</v>
      </c>
      <c r="B27">
        <v>68.150000000000006</v>
      </c>
      <c r="C27">
        <v>68.14</v>
      </c>
      <c r="D27">
        <v>136.29</v>
      </c>
      <c r="E27">
        <v>37.35</v>
      </c>
      <c r="F27">
        <v>115.93</v>
      </c>
      <c r="G27">
        <v>56.49</v>
      </c>
    </row>
    <row r="28" spans="1:7" x14ac:dyDescent="0.3">
      <c r="A28" t="s">
        <v>33</v>
      </c>
      <c r="B28">
        <v>4.9400000000000004</v>
      </c>
      <c r="C28">
        <v>5.21</v>
      </c>
      <c r="D28">
        <v>10.14</v>
      </c>
      <c r="E28">
        <v>65.77</v>
      </c>
      <c r="F28">
        <v>118.15</v>
      </c>
      <c r="G28">
        <v>85.14</v>
      </c>
    </row>
    <row r="29" spans="1:7" x14ac:dyDescent="0.3">
      <c r="A29" t="s">
        <v>34</v>
      </c>
      <c r="B29">
        <v>26.91</v>
      </c>
      <c r="C29">
        <v>39.090000000000003</v>
      </c>
      <c r="D29">
        <v>66</v>
      </c>
      <c r="E29">
        <v>43.16</v>
      </c>
      <c r="F29">
        <v>103.28</v>
      </c>
      <c r="G29">
        <v>65.87</v>
      </c>
    </row>
    <row r="30" spans="1:7" x14ac:dyDescent="0.3">
      <c r="A30" t="s">
        <v>35</v>
      </c>
      <c r="B30">
        <v>0.33</v>
      </c>
      <c r="C30">
        <v>36.299999999999997</v>
      </c>
      <c r="D30">
        <v>36.630000000000003</v>
      </c>
      <c r="G30">
        <v>164.42</v>
      </c>
    </row>
    <row r="31" spans="1:7" x14ac:dyDescent="0.3">
      <c r="A31" t="s">
        <v>36</v>
      </c>
      <c r="B31">
        <v>4.95</v>
      </c>
      <c r="C31">
        <v>5.49</v>
      </c>
      <c r="D31">
        <v>10.44</v>
      </c>
      <c r="E31">
        <v>51.97</v>
      </c>
      <c r="F31">
        <v>127.47</v>
      </c>
      <c r="G31">
        <v>75.48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85A11-87AF-41FE-9F07-60DC0E4FF544}">
  <dimension ref="A1:D12"/>
  <sheetViews>
    <sheetView workbookViewId="0">
      <selection activeCell="D3" sqref="D3"/>
    </sheetView>
  </sheetViews>
  <sheetFormatPr defaultRowHeight="14.4" x14ac:dyDescent="0.3"/>
  <cols>
    <col min="1" max="1" width="12.21875" bestFit="1" customWidth="1"/>
    <col min="2" max="2" width="28.109375" bestFit="1" customWidth="1"/>
    <col min="3" max="3" width="30.5546875" bestFit="1" customWidth="1"/>
    <col min="4" max="4" width="15.33203125" bestFit="1" customWidth="1"/>
  </cols>
  <sheetData>
    <row r="1" spans="1:4" x14ac:dyDescent="0.3">
      <c r="A1" t="s">
        <v>0</v>
      </c>
      <c r="B1" t="s">
        <v>37</v>
      </c>
      <c r="C1" t="s">
        <v>38</v>
      </c>
      <c r="D1" t="s">
        <v>39</v>
      </c>
    </row>
    <row r="2" spans="1:4" x14ac:dyDescent="0.3">
      <c r="A2" t="s">
        <v>30</v>
      </c>
      <c r="B2">
        <v>274</v>
      </c>
      <c r="C2">
        <v>4.34</v>
      </c>
      <c r="D2" t="s">
        <v>40</v>
      </c>
    </row>
    <row r="3" spans="1:4" x14ac:dyDescent="0.3">
      <c r="A3" t="s">
        <v>35</v>
      </c>
      <c r="B3">
        <v>241</v>
      </c>
      <c r="C3">
        <v>2.99</v>
      </c>
      <c r="D3" t="s">
        <v>40</v>
      </c>
    </row>
    <row r="4" spans="1:4" x14ac:dyDescent="0.3">
      <c r="A4" t="s">
        <v>12</v>
      </c>
      <c r="B4">
        <v>229</v>
      </c>
      <c r="C4">
        <v>3.23</v>
      </c>
      <c r="D4" t="s">
        <v>40</v>
      </c>
    </row>
    <row r="5" spans="1:4" x14ac:dyDescent="0.3">
      <c r="A5" t="s">
        <v>17</v>
      </c>
      <c r="B5">
        <v>203</v>
      </c>
      <c r="C5">
        <v>2.79</v>
      </c>
      <c r="D5" t="s">
        <v>40</v>
      </c>
    </row>
    <row r="6" spans="1:4" x14ac:dyDescent="0.3">
      <c r="A6" t="s">
        <v>41</v>
      </c>
      <c r="C6">
        <v>3.24</v>
      </c>
      <c r="D6" t="s">
        <v>40</v>
      </c>
    </row>
    <row r="7" spans="1:4" x14ac:dyDescent="0.3">
      <c r="A7" t="s">
        <v>20</v>
      </c>
      <c r="B7">
        <v>185</v>
      </c>
      <c r="D7" t="s">
        <v>40</v>
      </c>
    </row>
    <row r="8" spans="1:4" x14ac:dyDescent="0.3">
      <c r="A8" t="s">
        <v>32</v>
      </c>
      <c r="B8">
        <v>50</v>
      </c>
      <c r="D8" t="s">
        <v>42</v>
      </c>
    </row>
    <row r="9" spans="1:4" x14ac:dyDescent="0.3">
      <c r="A9" t="s">
        <v>10</v>
      </c>
      <c r="B9">
        <v>44</v>
      </c>
      <c r="C9">
        <v>0.65</v>
      </c>
      <c r="D9" t="s">
        <v>42</v>
      </c>
    </row>
    <row r="10" spans="1:4" x14ac:dyDescent="0.3">
      <c r="A10" t="s">
        <v>21</v>
      </c>
      <c r="B10">
        <v>35</v>
      </c>
      <c r="D10" t="s">
        <v>42</v>
      </c>
    </row>
    <row r="11" spans="1:4" x14ac:dyDescent="0.3">
      <c r="A11" t="s">
        <v>31</v>
      </c>
      <c r="B11">
        <v>33</v>
      </c>
      <c r="C11">
        <v>0.5</v>
      </c>
      <c r="D11" t="s">
        <v>42</v>
      </c>
    </row>
    <row r="12" spans="1:4" x14ac:dyDescent="0.3">
      <c r="A12" t="s">
        <v>43</v>
      </c>
      <c r="C12">
        <v>1.36</v>
      </c>
      <c r="D12" t="s">
        <v>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4A2E6-B9E5-4BCB-A43E-4F62108C1991}">
  <dimension ref="A1:F10"/>
  <sheetViews>
    <sheetView tabSelected="1" workbookViewId="0">
      <selection activeCell="F17" sqref="F17"/>
    </sheetView>
  </sheetViews>
  <sheetFormatPr defaultRowHeight="14.4" x14ac:dyDescent="0.3"/>
  <cols>
    <col min="1" max="1" width="18.21875" customWidth="1"/>
    <col min="2" max="2" width="23.21875" customWidth="1"/>
    <col min="3" max="3" width="22.77734375" customWidth="1"/>
    <col min="4" max="4" width="25.88671875" customWidth="1"/>
    <col min="5" max="5" width="24.88671875" customWidth="1"/>
    <col min="6" max="6" width="33.44140625" customWidth="1"/>
  </cols>
  <sheetData>
    <row r="1" spans="1:6" x14ac:dyDescent="0.3">
      <c r="A1" t="s">
        <v>0</v>
      </c>
      <c r="B1" t="s">
        <v>45</v>
      </c>
      <c r="C1" t="s">
        <v>46</v>
      </c>
      <c r="D1" t="s">
        <v>47</v>
      </c>
      <c r="E1" t="s">
        <v>39</v>
      </c>
      <c r="F1" t="s">
        <v>48</v>
      </c>
    </row>
    <row r="2" spans="1:6" x14ac:dyDescent="0.3">
      <c r="A2" t="s">
        <v>30</v>
      </c>
      <c r="B2">
        <f>VLOOKUP(A2, TRAI_Internet_Penetration_State!A:G, 7, FALSE)</f>
        <v>95.74</v>
      </c>
      <c r="C2">
        <f>VLOOKUP(A2, UPI_Data!A:B, 2, FALSE)</f>
        <v>274</v>
      </c>
      <c r="D2">
        <f>VLOOKUP(A2,UPI_Data!A:C, 3, FALSE)</f>
        <v>4.34</v>
      </c>
      <c r="E2" t="str">
        <f>VLOOKUP(A2, UPI_Data!A:D, 4, FALSE)</f>
        <v>High</v>
      </c>
      <c r="F2">
        <v>38.880000000000003</v>
      </c>
    </row>
    <row r="3" spans="1:6" x14ac:dyDescent="0.3">
      <c r="A3" t="s">
        <v>35</v>
      </c>
      <c r="B3">
        <f>VLOOKUP(A3, TRAI_Internet_Penetration_State!A:G, 7, FALSE)</f>
        <v>164.42</v>
      </c>
      <c r="C3">
        <f>VLOOKUP(A3, UPI_Data!A:B, 2, FALSE)</f>
        <v>241</v>
      </c>
      <c r="D3">
        <f>VLOOKUP(A3,UPI_Data!A:C, 3, FALSE)</f>
        <v>2.99</v>
      </c>
      <c r="E3" t="str">
        <f>VLOOKUP(A3, UPI_Data!A:D, 4, FALSE)</f>
        <v>High</v>
      </c>
      <c r="F3">
        <v>97.5</v>
      </c>
    </row>
    <row r="4" spans="1:6" x14ac:dyDescent="0.3">
      <c r="A4" t="s">
        <v>12</v>
      </c>
      <c r="B4">
        <f>VLOOKUP(A4, TRAI_Internet_Penetration_State!A:G, 7, FALSE)</f>
        <v>156.81</v>
      </c>
      <c r="C4">
        <f>VLOOKUP(A4, UPI_Data!A:B, 2, FALSE)</f>
        <v>229</v>
      </c>
      <c r="D4">
        <f>VLOOKUP(A4,UPI_Data!A:C, 3, FALSE)</f>
        <v>3.23</v>
      </c>
      <c r="E4" t="str">
        <f>VLOOKUP(A4, UPI_Data!A:D, 4, FALSE)</f>
        <v>High</v>
      </c>
      <c r="F4">
        <v>62.17</v>
      </c>
    </row>
    <row r="5" spans="1:6" ht="16.8" customHeight="1" x14ac:dyDescent="0.3">
      <c r="A5" t="s">
        <v>17</v>
      </c>
      <c r="B5">
        <f>VLOOKUP(A5, TRAI_Internet_Penetration_State!A:G, 7, FALSE)</f>
        <v>90.88</v>
      </c>
      <c r="C5">
        <f>VLOOKUP(A5, UPI_Data!A:B, 2, FALSE)</f>
        <v>203</v>
      </c>
      <c r="D5">
        <f>VLOOKUP(A5,UPI_Data!A:C, 3, FALSE)</f>
        <v>2.79</v>
      </c>
      <c r="E5" t="str">
        <f>VLOOKUP(A5, UPI_Data!A:D, 4, FALSE)</f>
        <v>High</v>
      </c>
      <c r="F5">
        <v>38.67</v>
      </c>
    </row>
    <row r="6" spans="1:6" x14ac:dyDescent="0.3">
      <c r="A6" t="s">
        <v>20</v>
      </c>
      <c r="B6">
        <f>VLOOKUP(A6, TRAI_Internet_Penetration_State!A:G, 7, FALSE)</f>
        <v>87.14</v>
      </c>
      <c r="C6">
        <f>VLOOKUP(A6, UPI_Data!A:B, 2, FALSE)</f>
        <v>185</v>
      </c>
      <c r="D6">
        <f>VLOOKUP(A6,UPI_Data!A:C, 3, FALSE)</f>
        <v>0</v>
      </c>
      <c r="E6" t="str">
        <f>VLOOKUP(A6, UPI_Data!A:D, 4, FALSE)</f>
        <v>High</v>
      </c>
      <c r="F6">
        <v>45.23</v>
      </c>
    </row>
    <row r="7" spans="1:6" x14ac:dyDescent="0.3">
      <c r="A7" t="s">
        <v>32</v>
      </c>
      <c r="B7">
        <f>VLOOKUP(A7, TRAI_Internet_Penetration_State!A:G, 7, FALSE)</f>
        <v>56.49</v>
      </c>
      <c r="C7">
        <f>VLOOKUP(A7, UPI_Data!A:B, 2, FALSE)</f>
        <v>50</v>
      </c>
      <c r="D7">
        <f>VLOOKUP(A7,UPI_Data!A:C, 3, FALSE)</f>
        <v>0</v>
      </c>
      <c r="E7" t="str">
        <f>VLOOKUP(A7, UPI_Data!A:D, 4, FALSE)</f>
        <v>Low</v>
      </c>
      <c r="F7">
        <v>22.28</v>
      </c>
    </row>
    <row r="8" spans="1:6" x14ac:dyDescent="0.3">
      <c r="A8" t="s">
        <v>10</v>
      </c>
      <c r="B8">
        <f>VLOOKUP(A8, TRAI_Internet_Penetration_State!A:G, 7, FALSE)</f>
        <v>43.55</v>
      </c>
      <c r="C8">
        <f>VLOOKUP(A8, UPI_Data!A:B, 2, FALSE)</f>
        <v>44</v>
      </c>
      <c r="D8">
        <f>VLOOKUP(A8,UPI_Data!A:C, 3, FALSE)</f>
        <v>0.65</v>
      </c>
      <c r="E8" t="str">
        <f>VLOOKUP(A8, UPI_Data!A:D, 4, FALSE)</f>
        <v>Low</v>
      </c>
      <c r="F8">
        <v>11.3</v>
      </c>
    </row>
    <row r="9" spans="1:6" x14ac:dyDescent="0.3">
      <c r="A9" t="s">
        <v>21</v>
      </c>
      <c r="B9">
        <f>VLOOKUP(A9, TRAI_Internet_Penetration_State!A:G, 7, FALSE)</f>
        <v>72.2</v>
      </c>
      <c r="C9">
        <f>VLOOKUP(A9, UPI_Data!A:B, 2, FALSE)</f>
        <v>35</v>
      </c>
      <c r="D9">
        <f>VLOOKUP(A9,UPI_Data!A:C, 3, FALSE)</f>
        <v>0</v>
      </c>
      <c r="E9" t="str">
        <f>VLOOKUP(A9, UPI_Data!A:D, 4, FALSE)</f>
        <v>Low</v>
      </c>
      <c r="F9">
        <v>29.21</v>
      </c>
    </row>
    <row r="10" spans="1:6" x14ac:dyDescent="0.3">
      <c r="A10" t="s">
        <v>31</v>
      </c>
      <c r="B10">
        <f>VLOOKUP(A10, TRAI_Internet_Penetration_State!A:G, 7, FALSE)</f>
        <v>56.52</v>
      </c>
      <c r="C10">
        <f>VLOOKUP(A10, UPI_Data!A:B, 2, FALSE)</f>
        <v>33</v>
      </c>
      <c r="D10">
        <f>VLOOKUP(A10,UPI_Data!A:C, 3, FALSE)</f>
        <v>0.5</v>
      </c>
      <c r="E10" t="str">
        <f>VLOOKUP(A10, UPI_Data!A:D, 4, FALSE)</f>
        <v>Low</v>
      </c>
      <c r="F10">
        <v>26.18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743A72-DE1A-4616-A44D-71965B65AC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TRAI_Internet_Penetration_State</vt:lpstr>
      <vt:lpstr>UPI_Data</vt:lpstr>
      <vt:lpstr>Merged_data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Mahmud Alam</dc:creator>
  <cp:lastModifiedBy>Mahmud Alam</cp:lastModifiedBy>
  <dcterms:created xsi:type="dcterms:W3CDTF">2026-07-19T18:24:29Z</dcterms:created>
  <dcterms:modified xsi:type="dcterms:W3CDTF">2026-07-25T18:50:11Z</dcterms:modified>
</cp:coreProperties>
</file>